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PANAMA\IDEWPA_28042025\"/>
    </mc:Choice>
  </mc:AlternateContent>
  <xr:revisionPtr revIDLastSave="0" documentId="13_ncr:1_{5C992901-B6AF-46E2-9A35-9CAC5B768075}" xr6:coauthVersionLast="47" xr6:coauthVersionMax="47" xr10:uidLastSave="{00000000-0000-0000-0000-000000000000}"/>
  <bookViews>
    <workbookView xWindow="-108" yWindow="-108" windowWidth="23256" windowHeight="12456" xr2:uid="{A9A1DCCB-5D93-447B-BE30-7304EEFD32E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D4" i="1" s="1"/>
  <c r="C24" i="1" l="1"/>
  <c r="C14" i="1"/>
  <c r="C9" i="1"/>
  <c r="B29" i="1"/>
  <c r="B19" i="1"/>
  <c r="B9" i="1"/>
  <c r="E28" i="1"/>
  <c r="E18" i="1"/>
  <c r="E3" i="1"/>
  <c r="D23" i="1"/>
  <c r="B2" i="1"/>
  <c r="C29" i="1"/>
  <c r="C19" i="1"/>
  <c r="C4" i="1"/>
  <c r="B24" i="1"/>
  <c r="B14" i="1"/>
  <c r="B4" i="1"/>
  <c r="E23" i="1"/>
  <c r="E13" i="1"/>
  <c r="E8" i="1"/>
  <c r="D28" i="1"/>
  <c r="D18" i="1"/>
  <c r="D13" i="1"/>
  <c r="D8" i="1"/>
  <c r="D3" i="1"/>
  <c r="C28" i="1"/>
  <c r="C23" i="1"/>
  <c r="C18" i="1"/>
  <c r="C13" i="1"/>
  <c r="C8" i="1"/>
  <c r="C3" i="1"/>
  <c r="B28" i="1"/>
  <c r="B23" i="1"/>
  <c r="B18" i="1"/>
  <c r="B13" i="1"/>
  <c r="B8" i="1"/>
  <c r="B3" i="1"/>
  <c r="E32" i="1"/>
  <c r="E27" i="1"/>
  <c r="E22" i="1"/>
  <c r="E17" i="1"/>
  <c r="E12" i="1"/>
  <c r="E7" i="1"/>
  <c r="E2" i="1"/>
  <c r="D32" i="1"/>
  <c r="D27" i="1"/>
  <c r="D22" i="1"/>
  <c r="D17" i="1"/>
  <c r="D12" i="1"/>
  <c r="D7" i="1"/>
  <c r="D2" i="1"/>
  <c r="C32" i="1"/>
  <c r="C27" i="1"/>
  <c r="C22" i="1"/>
  <c r="C17" i="1"/>
  <c r="C12" i="1"/>
  <c r="C7" i="1"/>
  <c r="C2" i="1"/>
  <c r="B32" i="1"/>
  <c r="B27" i="1"/>
  <c r="B22" i="1"/>
  <c r="B17" i="1"/>
  <c r="B12" i="1"/>
  <c r="B7" i="1"/>
  <c r="E31" i="1"/>
  <c r="E26" i="1"/>
  <c r="E21" i="1"/>
  <c r="E16" i="1"/>
  <c r="E11" i="1"/>
  <c r="E6" i="1"/>
  <c r="E9" i="1"/>
  <c r="E4" i="1"/>
  <c r="D31" i="1"/>
  <c r="D26" i="1"/>
  <c r="D21" i="1"/>
  <c r="D16" i="1"/>
  <c r="D11" i="1"/>
  <c r="D6" i="1"/>
  <c r="C31" i="1"/>
  <c r="C26" i="1"/>
  <c r="C21" i="1"/>
  <c r="C16" i="1"/>
  <c r="C11" i="1"/>
  <c r="C6" i="1"/>
  <c r="B31" i="1"/>
  <c r="B26" i="1"/>
  <c r="B21" i="1"/>
  <c r="B16" i="1"/>
  <c r="B11" i="1"/>
  <c r="B6" i="1"/>
  <c r="E30" i="1"/>
  <c r="E25" i="1"/>
  <c r="E20" i="1"/>
  <c r="E15" i="1"/>
  <c r="E10" i="1"/>
  <c r="E5" i="1"/>
  <c r="D30" i="1"/>
  <c r="D25" i="1"/>
  <c r="D20" i="1"/>
  <c r="D15" i="1"/>
  <c r="D10" i="1"/>
  <c r="D5" i="1"/>
  <c r="C30" i="1"/>
  <c r="C25" i="1"/>
  <c r="C20" i="1"/>
  <c r="C15" i="1"/>
  <c r="C10" i="1"/>
  <c r="C5" i="1"/>
  <c r="B30" i="1"/>
  <c r="B25" i="1"/>
  <c r="B20" i="1"/>
  <c r="B15" i="1"/>
  <c r="B10" i="1"/>
  <c r="B5" i="1"/>
  <c r="E29" i="1"/>
  <c r="E24" i="1"/>
  <c r="E19" i="1"/>
  <c r="E14" i="1"/>
  <c r="D29" i="1"/>
  <c r="D24" i="1"/>
  <c r="D19" i="1"/>
  <c r="D14" i="1"/>
  <c r="D9" i="1"/>
</calcChain>
</file>

<file path=xl/sharedStrings.xml><?xml version="1.0" encoding="utf-8"?>
<sst xmlns="http://schemas.openxmlformats.org/spreadsheetml/2006/main" count="5" uniqueCount="5">
  <si>
    <t>CREC</t>
  </si>
  <si>
    <t>INFLAC</t>
  </si>
  <si>
    <t>DESEMP</t>
  </si>
  <si>
    <t>RFISC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</si>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</sst>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dor\Documents\ANALISIS%20MACROECONOMICO%20PANAMA\IDE_Panama_06122025.xlsx" TargetMode="External"/><Relationship Id="rId1" Type="http://schemas.openxmlformats.org/officeDocument/2006/relationships/externalLinkPath" Target="/Users/Administrador/Documents/ANALISIS%20MACROECONOMICO%20PANAMA/IDE_Panama_0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atos"/>
    </sheetNames>
    <sheetDataSet>
      <sheetData sheetId="0"/>
      <sheetData sheetId="1">
        <row r="11">
          <cell r="F11">
            <v>2.7050000000000001E-2</v>
          </cell>
          <cell r="G11">
            <v>5.6399999999999992E-3</v>
          </cell>
          <cell r="H11">
            <v>2.2380000000000001E-2</v>
          </cell>
          <cell r="I11">
            <v>4.2590000000000003E-2</v>
          </cell>
          <cell r="J11">
            <v>7.4810000000000001E-2</v>
          </cell>
          <cell r="K11">
            <v>7.1870000000000003E-2</v>
          </cell>
          <cell r="L11">
            <v>8.5260000000000002E-2</v>
          </cell>
          <cell r="M11">
            <v>0.12168</v>
          </cell>
          <cell r="N11">
            <v>9.8810000000000009E-2</v>
          </cell>
          <cell r="O11">
            <v>1.2960000000000001E-2</v>
          </cell>
          <cell r="P11">
            <v>5.8220000000000001E-2</v>
          </cell>
          <cell r="Q11">
            <v>0.11291000000000001</v>
          </cell>
          <cell r="R11">
            <v>7.6499999999999999E-2</v>
          </cell>
          <cell r="S11">
            <v>9.0440000000000006E-2</v>
          </cell>
          <cell r="T11">
            <v>5.0560000000000001E-2</v>
          </cell>
          <cell r="U11">
            <v>5.7439999999999998E-2</v>
          </cell>
          <cell r="V11">
            <v>4.947E-2</v>
          </cell>
          <cell r="W11">
            <v>5.6079999999999998E-2</v>
          </cell>
          <cell r="X11">
            <v>3.6979999999999999E-2</v>
          </cell>
          <cell r="Y11">
            <v>3.1030000000000002E-2</v>
          </cell>
          <cell r="Z11">
            <v>-0.17821000000000001</v>
          </cell>
          <cell r="AA11">
            <v>0.16466999999999998</v>
          </cell>
          <cell r="AB11">
            <v>0.11039</v>
          </cell>
          <cell r="AC11">
            <v>7.1660000000000001E-2</v>
          </cell>
          <cell r="AD11">
            <v>2.7480000000000001E-2</v>
          </cell>
          <cell r="AE11">
            <v>0.04</v>
          </cell>
          <cell r="AF11">
            <v>0.04</v>
          </cell>
          <cell r="AG11">
            <v>0.04</v>
          </cell>
          <cell r="AH11">
            <v>0.04</v>
          </cell>
          <cell r="AI11">
            <v>0.04</v>
          </cell>
          <cell r="AJ11">
            <v>0.04</v>
          </cell>
        </row>
        <row r="12">
          <cell r="F12">
            <v>7.0599999999999994E-3</v>
          </cell>
          <cell r="G12">
            <v>0</v>
          </cell>
          <cell r="H12">
            <v>1.753E-2</v>
          </cell>
          <cell r="I12">
            <v>-2E-3</v>
          </cell>
          <cell r="J12">
            <v>1.6049999999999998E-2</v>
          </cell>
          <cell r="K12">
            <v>3.356E-2</v>
          </cell>
          <cell r="L12">
            <v>2.197E-2</v>
          </cell>
          <cell r="M12">
            <v>6.3550000000000009E-2</v>
          </cell>
          <cell r="N12">
            <v>6.7659999999999998E-2</v>
          </cell>
          <cell r="O12">
            <v>1.8929999999999999E-2</v>
          </cell>
          <cell r="P12">
            <v>4.9269999999999994E-2</v>
          </cell>
          <cell r="Q12">
            <v>6.3129999999999992E-2</v>
          </cell>
          <cell r="R12">
            <v>4.6340000000000006E-2</v>
          </cell>
          <cell r="S12">
            <v>3.737E-2</v>
          </cell>
          <cell r="T12">
            <v>9.7000000000000003E-3</v>
          </cell>
          <cell r="U12">
            <v>2.9399999999999999E-3</v>
          </cell>
          <cell r="V12">
            <v>1.4630000000000001E-2</v>
          </cell>
          <cell r="W12">
            <v>4.81E-3</v>
          </cell>
          <cell r="X12">
            <v>1.58E-3</v>
          </cell>
          <cell r="Y12">
            <v>-6.4000000000000005E-4</v>
          </cell>
          <cell r="Z12">
            <v>-1.575E-2</v>
          </cell>
          <cell r="AA12">
            <v>2.6239999999999999E-2</v>
          </cell>
          <cell r="AB12">
            <v>2.0750000000000001E-2</v>
          </cell>
          <cell r="AC12">
            <v>1.9210000000000001E-2</v>
          </cell>
          <cell r="AD12">
            <v>-1.9300000000000001E-3</v>
          </cell>
          <cell r="AE12">
            <v>6.9999999999999993E-3</v>
          </cell>
          <cell r="AF12">
            <v>0.02</v>
          </cell>
          <cell r="AG12">
            <v>0.02</v>
          </cell>
          <cell r="AH12">
            <v>0.02</v>
          </cell>
          <cell r="AI12">
            <v>0.02</v>
          </cell>
          <cell r="AJ12">
            <v>0.02</v>
          </cell>
        </row>
        <row r="13">
          <cell r="F13">
            <v>0.13525999999999999</v>
          </cell>
          <cell r="G13">
            <v>0.14026</v>
          </cell>
          <cell r="H13">
            <v>0.13489000000000001</v>
          </cell>
          <cell r="I13">
            <v>0.13042000000000001</v>
          </cell>
          <cell r="J13">
            <v>0.11749000000000001</v>
          </cell>
          <cell r="K13">
            <v>9.7810000000000008E-2</v>
          </cell>
          <cell r="L13">
            <v>8.6620000000000003E-2</v>
          </cell>
          <cell r="M13">
            <v>6.3719999999999999E-2</v>
          </cell>
          <cell r="N13">
            <v>5.5789999999999999E-2</v>
          </cell>
          <cell r="O13">
            <v>6.5570000000000003E-2</v>
          </cell>
          <cell r="P13">
            <v>6.5159999999999996E-2</v>
          </cell>
          <cell r="Q13">
            <v>4.4809999999999996E-2</v>
          </cell>
          <cell r="R13">
            <v>4.0500000000000001E-2</v>
          </cell>
          <cell r="S13">
            <v>4.0979999999999996E-2</v>
          </cell>
          <cell r="T13">
            <v>4.8230000000000002E-2</v>
          </cell>
          <cell r="U13">
            <v>5.0519999999999995E-2</v>
          </cell>
          <cell r="V13">
            <v>5.4939999999999996E-2</v>
          </cell>
          <cell r="W13">
            <v>6.13E-2</v>
          </cell>
          <cell r="X13">
            <v>5.9560000000000002E-2</v>
          </cell>
          <cell r="Y13">
            <v>7.0699999999999999E-2</v>
          </cell>
          <cell r="Z13">
            <v>0.18547999999999998</v>
          </cell>
          <cell r="AA13">
            <v>0.11292999999999999</v>
          </cell>
          <cell r="AB13">
            <v>9.9169999999999994E-2</v>
          </cell>
          <cell r="AC13">
            <v>7.4310000000000001E-2</v>
          </cell>
          <cell r="AD13">
            <v>9.5259999999999997E-2</v>
          </cell>
          <cell r="AE13">
            <v>0.08</v>
          </cell>
          <cell r="AF13">
            <v>7.6999999999999999E-2</v>
          </cell>
          <cell r="AG13">
            <v>7.6999999999999999E-2</v>
          </cell>
          <cell r="AH13">
            <v>7.6999999999999999E-2</v>
          </cell>
          <cell r="AI13">
            <v>7.6999999999999999E-2</v>
          </cell>
          <cell r="AJ13">
            <v>7.6999999999999999E-2</v>
          </cell>
        </row>
        <row r="14">
          <cell r="F14">
            <v>2.0480000000000002E-2</v>
          </cell>
          <cell r="G14">
            <v>-4.1700000000000001E-3</v>
          </cell>
          <cell r="H14">
            <v>-9.6299999999999997E-3</v>
          </cell>
          <cell r="I14">
            <v>-2.2719999999999997E-2</v>
          </cell>
          <cell r="J14">
            <v>-4.3310000000000001E-2</v>
          </cell>
          <cell r="K14">
            <v>-2.2109999999999998E-2</v>
          </cell>
          <cell r="L14">
            <v>5.1400000000000005E-3</v>
          </cell>
          <cell r="M14">
            <v>3.1210000000000002E-2</v>
          </cell>
          <cell r="N14">
            <v>3.7499999999999999E-3</v>
          </cell>
          <cell r="O14">
            <v>-9.0100000000000006E-3</v>
          </cell>
          <cell r="P14">
            <v>-1.6760000000000001E-2</v>
          </cell>
          <cell r="Q14">
            <v>-1.9550000000000001E-2</v>
          </cell>
          <cell r="R14">
            <v>-1.3140000000000001E-2</v>
          </cell>
          <cell r="S14">
            <v>-2.3820000000000001E-2</v>
          </cell>
          <cell r="T14">
            <v>-3.2129999999999999E-2</v>
          </cell>
          <cell r="U14">
            <v>-2.2970000000000001E-2</v>
          </cell>
          <cell r="V14">
            <v>-1.8870000000000001E-2</v>
          </cell>
          <cell r="W14">
            <v>-1.9230000000000001E-2</v>
          </cell>
          <cell r="X14">
            <v>-2.8799999999999999E-2</v>
          </cell>
          <cell r="Y14">
            <v>-2.8919999999999998E-2</v>
          </cell>
          <cell r="Z14">
            <v>-0.10202</v>
          </cell>
          <cell r="AA14">
            <v>-6.4770000000000008E-2</v>
          </cell>
          <cell r="AB14">
            <v>-3.9809999999999998E-2</v>
          </cell>
          <cell r="AC14">
            <v>-3.9019999999999999E-2</v>
          </cell>
          <cell r="AD14">
            <v>-7.4149999999999994E-2</v>
          </cell>
          <cell r="AE14">
            <v>-3.9890000000000002E-2</v>
          </cell>
          <cell r="AF14">
            <v>-3.4889999999999997E-2</v>
          </cell>
          <cell r="AG14">
            <v>-2.9910000000000003E-2</v>
          </cell>
          <cell r="AH14">
            <v>-2.4940000000000004E-2</v>
          </cell>
          <cell r="AI14">
            <v>-1.992E-2</v>
          </cell>
          <cell r="AJ14">
            <v>-1.4999999999999999E-2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795F-12C4-4170-8204-E7410D223EA1}">
  <dimension ref="A1:E32"/>
  <sheetViews>
    <sheetView tabSelected="1" workbookViewId="0">
      <selection activeCell="I5" sqref="I5"/>
    </sheetView>
  </sheetViews>
  <sheetFormatPr baseColWidth="10" defaultRowHeight="14.4" x14ac:dyDescent="0.3"/>
  <cols>
    <col min="1" max="1" width="11.5546875" style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2000</v>
      </c>
      <c r="B2" s="2">
        <f t="array" ref="B2:E32">TRANSPOSE([1]Datos!$F$11:$AJ$14)</f>
        <v>2.7050000000000001E-2</v>
      </c>
      <c r="C2" s="2">
        <v>7.0599999999999994E-3</v>
      </c>
      <c r="D2" s="2">
        <v>0.13525999999999999</v>
      </c>
      <c r="E2" s="2">
        <v>2.0480000000000002E-2</v>
      </c>
    </row>
    <row r="3" spans="1:5" x14ac:dyDescent="0.3">
      <c r="A3" s="1">
        <v>2001</v>
      </c>
      <c r="B3" s="2">
        <v>5.6399999999999992E-3</v>
      </c>
      <c r="C3" s="2">
        <v>0</v>
      </c>
      <c r="D3" s="2">
        <v>0.14026</v>
      </c>
      <c r="E3" s="2">
        <v>-4.1700000000000001E-3</v>
      </c>
    </row>
    <row r="4" spans="1:5" x14ac:dyDescent="0.3">
      <c r="A4" s="1">
        <v>2002</v>
      </c>
      <c r="B4" s="2">
        <v>2.2380000000000001E-2</v>
      </c>
      <c r="C4" s="2">
        <v>1.753E-2</v>
      </c>
      <c r="D4" s="2">
        <v>0.13489000000000001</v>
      </c>
      <c r="E4" s="2">
        <v>-9.6299999999999997E-3</v>
      </c>
    </row>
    <row r="5" spans="1:5" x14ac:dyDescent="0.3">
      <c r="A5" s="1">
        <v>2003</v>
      </c>
      <c r="B5" s="2">
        <v>4.2590000000000003E-2</v>
      </c>
      <c r="C5" s="2">
        <v>-2E-3</v>
      </c>
      <c r="D5" s="2">
        <v>0.13042000000000001</v>
      </c>
      <c r="E5" s="2">
        <v>-2.2719999999999997E-2</v>
      </c>
    </row>
    <row r="6" spans="1:5" x14ac:dyDescent="0.3">
      <c r="A6" s="1">
        <v>2004</v>
      </c>
      <c r="B6" s="2">
        <v>7.4810000000000001E-2</v>
      </c>
      <c r="C6" s="2">
        <v>1.6049999999999998E-2</v>
      </c>
      <c r="D6" s="2">
        <v>0.11749000000000001</v>
      </c>
      <c r="E6" s="2">
        <v>-4.3310000000000001E-2</v>
      </c>
    </row>
    <row r="7" spans="1:5" x14ac:dyDescent="0.3">
      <c r="A7" s="1">
        <v>2005</v>
      </c>
      <c r="B7" s="2">
        <v>7.1870000000000003E-2</v>
      </c>
      <c r="C7" s="2">
        <v>3.356E-2</v>
      </c>
      <c r="D7" s="2">
        <v>9.7810000000000008E-2</v>
      </c>
      <c r="E7" s="2">
        <v>-2.2109999999999998E-2</v>
      </c>
    </row>
    <row r="8" spans="1:5" x14ac:dyDescent="0.3">
      <c r="A8" s="1">
        <v>2006</v>
      </c>
      <c r="B8" s="2">
        <v>8.5260000000000002E-2</v>
      </c>
      <c r="C8" s="2">
        <v>2.197E-2</v>
      </c>
      <c r="D8" s="2">
        <v>8.6620000000000003E-2</v>
      </c>
      <c r="E8" s="2">
        <v>5.1400000000000005E-3</v>
      </c>
    </row>
    <row r="9" spans="1:5" x14ac:dyDescent="0.3">
      <c r="A9" s="1">
        <v>2007</v>
      </c>
      <c r="B9" s="2">
        <v>0.12168</v>
      </c>
      <c r="C9" s="2">
        <v>6.3550000000000009E-2</v>
      </c>
      <c r="D9" s="2">
        <v>6.3719999999999999E-2</v>
      </c>
      <c r="E9" s="2">
        <v>3.1210000000000002E-2</v>
      </c>
    </row>
    <row r="10" spans="1:5" x14ac:dyDescent="0.3">
      <c r="A10" s="1">
        <v>2008</v>
      </c>
      <c r="B10" s="2">
        <v>9.8810000000000009E-2</v>
      </c>
      <c r="C10" s="2">
        <v>6.7659999999999998E-2</v>
      </c>
      <c r="D10" s="2">
        <v>5.5789999999999999E-2</v>
      </c>
      <c r="E10" s="2">
        <v>3.7499999999999999E-3</v>
      </c>
    </row>
    <row r="11" spans="1:5" x14ac:dyDescent="0.3">
      <c r="A11" s="1">
        <v>2009</v>
      </c>
      <c r="B11" s="2">
        <v>1.2960000000000001E-2</v>
      </c>
      <c r="C11" s="2">
        <v>1.8929999999999999E-2</v>
      </c>
      <c r="D11" s="2">
        <v>6.5570000000000003E-2</v>
      </c>
      <c r="E11" s="2">
        <v>-9.0100000000000006E-3</v>
      </c>
    </row>
    <row r="12" spans="1:5" x14ac:dyDescent="0.3">
      <c r="A12" s="1">
        <v>2010</v>
      </c>
      <c r="B12" s="2">
        <v>5.8220000000000001E-2</v>
      </c>
      <c r="C12" s="2">
        <v>4.9269999999999994E-2</v>
      </c>
      <c r="D12" s="2">
        <v>6.5159999999999996E-2</v>
      </c>
      <c r="E12" s="2">
        <v>-1.6760000000000001E-2</v>
      </c>
    </row>
    <row r="13" spans="1:5" x14ac:dyDescent="0.3">
      <c r="A13" s="1">
        <v>2011</v>
      </c>
      <c r="B13" s="2">
        <v>0.11291000000000001</v>
      </c>
      <c r="C13" s="2">
        <v>6.3129999999999992E-2</v>
      </c>
      <c r="D13" s="2">
        <v>4.4809999999999996E-2</v>
      </c>
      <c r="E13" s="2">
        <v>-1.9550000000000001E-2</v>
      </c>
    </row>
    <row r="14" spans="1:5" x14ac:dyDescent="0.3">
      <c r="A14" s="1">
        <v>2012</v>
      </c>
      <c r="B14" s="2">
        <v>7.6499999999999999E-2</v>
      </c>
      <c r="C14" s="2">
        <v>4.6340000000000006E-2</v>
      </c>
      <c r="D14" s="2">
        <v>4.0500000000000001E-2</v>
      </c>
      <c r="E14" s="2">
        <v>-1.3140000000000001E-2</v>
      </c>
    </row>
    <row r="15" spans="1:5" x14ac:dyDescent="0.3">
      <c r="A15" s="1">
        <v>2013</v>
      </c>
      <c r="B15" s="2">
        <v>9.0440000000000006E-2</v>
      </c>
      <c r="C15" s="2">
        <v>3.737E-2</v>
      </c>
      <c r="D15" s="2">
        <v>4.0979999999999996E-2</v>
      </c>
      <c r="E15" s="2">
        <v>-2.3820000000000001E-2</v>
      </c>
    </row>
    <row r="16" spans="1:5" x14ac:dyDescent="0.3">
      <c r="A16" s="1">
        <v>2014</v>
      </c>
      <c r="B16" s="2">
        <v>5.0560000000000001E-2</v>
      </c>
      <c r="C16" s="2">
        <v>9.7000000000000003E-3</v>
      </c>
      <c r="D16" s="2">
        <v>4.8230000000000002E-2</v>
      </c>
      <c r="E16" s="2">
        <v>-3.2129999999999999E-2</v>
      </c>
    </row>
    <row r="17" spans="1:5" x14ac:dyDescent="0.3">
      <c r="A17" s="1">
        <v>2015</v>
      </c>
      <c r="B17" s="2">
        <v>5.7439999999999998E-2</v>
      </c>
      <c r="C17" s="2">
        <v>2.9399999999999999E-3</v>
      </c>
      <c r="D17" s="2">
        <v>5.0519999999999995E-2</v>
      </c>
      <c r="E17" s="2">
        <v>-2.2970000000000001E-2</v>
      </c>
    </row>
    <row r="18" spans="1:5" x14ac:dyDescent="0.3">
      <c r="A18" s="1">
        <v>2016</v>
      </c>
      <c r="B18" s="2">
        <v>4.947E-2</v>
      </c>
      <c r="C18" s="2">
        <v>1.4630000000000001E-2</v>
      </c>
      <c r="D18" s="2">
        <v>5.4939999999999996E-2</v>
      </c>
      <c r="E18" s="2">
        <v>-1.8870000000000001E-2</v>
      </c>
    </row>
    <row r="19" spans="1:5" x14ac:dyDescent="0.3">
      <c r="A19" s="1">
        <v>2017</v>
      </c>
      <c r="B19" s="2">
        <v>5.6079999999999998E-2</v>
      </c>
      <c r="C19" s="2">
        <v>4.81E-3</v>
      </c>
      <c r="D19" s="2">
        <v>6.13E-2</v>
      </c>
      <c r="E19" s="2">
        <v>-1.9230000000000001E-2</v>
      </c>
    </row>
    <row r="20" spans="1:5" x14ac:dyDescent="0.3">
      <c r="A20" s="1">
        <v>2018</v>
      </c>
      <c r="B20" s="2">
        <v>3.6979999999999999E-2</v>
      </c>
      <c r="C20" s="2">
        <v>1.58E-3</v>
      </c>
      <c r="D20" s="2">
        <v>5.9560000000000002E-2</v>
      </c>
      <c r="E20" s="2">
        <v>-2.8799999999999999E-2</v>
      </c>
    </row>
    <row r="21" spans="1:5" x14ac:dyDescent="0.3">
      <c r="A21" s="1">
        <v>2019</v>
      </c>
      <c r="B21" s="2">
        <v>3.1030000000000002E-2</v>
      </c>
      <c r="C21" s="2">
        <v>-6.4000000000000005E-4</v>
      </c>
      <c r="D21" s="2">
        <v>7.0699999999999999E-2</v>
      </c>
      <c r="E21" s="2">
        <v>-2.8919999999999998E-2</v>
      </c>
    </row>
    <row r="22" spans="1:5" x14ac:dyDescent="0.3">
      <c r="A22" s="1">
        <v>2020</v>
      </c>
      <c r="B22" s="2">
        <v>-0.17821000000000001</v>
      </c>
      <c r="C22" s="2">
        <v>-1.575E-2</v>
      </c>
      <c r="D22" s="2">
        <v>0.18547999999999998</v>
      </c>
      <c r="E22" s="2">
        <v>-0.10202</v>
      </c>
    </row>
    <row r="23" spans="1:5" x14ac:dyDescent="0.3">
      <c r="A23" s="1">
        <v>2021</v>
      </c>
      <c r="B23" s="2">
        <v>0.16466999999999998</v>
      </c>
      <c r="C23" s="2">
        <v>2.6239999999999999E-2</v>
      </c>
      <c r="D23" s="2">
        <v>0.11292999999999999</v>
      </c>
      <c r="E23" s="2">
        <v>-6.4770000000000008E-2</v>
      </c>
    </row>
    <row r="24" spans="1:5" x14ac:dyDescent="0.3">
      <c r="A24" s="1">
        <v>2022</v>
      </c>
      <c r="B24" s="2">
        <v>0.11039</v>
      </c>
      <c r="C24" s="2">
        <v>2.0750000000000001E-2</v>
      </c>
      <c r="D24" s="2">
        <v>9.9169999999999994E-2</v>
      </c>
      <c r="E24" s="2">
        <v>-3.9809999999999998E-2</v>
      </c>
    </row>
    <row r="25" spans="1:5" x14ac:dyDescent="0.3">
      <c r="A25" s="1">
        <v>2023</v>
      </c>
      <c r="B25" s="2">
        <v>7.1660000000000001E-2</v>
      </c>
      <c r="C25" s="2">
        <v>1.9210000000000001E-2</v>
      </c>
      <c r="D25" s="2">
        <v>7.4310000000000001E-2</v>
      </c>
      <c r="E25" s="2">
        <v>-3.9019999999999999E-2</v>
      </c>
    </row>
    <row r="26" spans="1:5" x14ac:dyDescent="0.3">
      <c r="A26" s="1">
        <v>2024</v>
      </c>
      <c r="B26" s="2">
        <v>2.7480000000000001E-2</v>
      </c>
      <c r="C26" s="2">
        <v>-1.9300000000000001E-3</v>
      </c>
      <c r="D26" s="2">
        <v>9.5259999999999997E-2</v>
      </c>
      <c r="E26" s="2">
        <v>-7.4149999999999994E-2</v>
      </c>
    </row>
    <row r="27" spans="1:5" x14ac:dyDescent="0.3">
      <c r="A27" s="1">
        <v>2025</v>
      </c>
      <c r="B27" s="2">
        <v>0.04</v>
      </c>
      <c r="C27" s="2">
        <v>6.9999999999999993E-3</v>
      </c>
      <c r="D27" s="2">
        <v>0.08</v>
      </c>
      <c r="E27" s="2">
        <v>-3.9890000000000002E-2</v>
      </c>
    </row>
    <row r="28" spans="1:5" x14ac:dyDescent="0.3">
      <c r="A28" s="1">
        <v>2026</v>
      </c>
      <c r="B28" s="2">
        <v>0.04</v>
      </c>
      <c r="C28" s="2">
        <v>0.02</v>
      </c>
      <c r="D28" s="2">
        <v>7.6999999999999999E-2</v>
      </c>
      <c r="E28" s="2">
        <v>-3.4889999999999997E-2</v>
      </c>
    </row>
    <row r="29" spans="1:5" x14ac:dyDescent="0.3">
      <c r="A29" s="1">
        <v>2027</v>
      </c>
      <c r="B29" s="2">
        <v>0.04</v>
      </c>
      <c r="C29" s="2">
        <v>0.02</v>
      </c>
      <c r="D29" s="2">
        <v>7.6999999999999999E-2</v>
      </c>
      <c r="E29" s="2">
        <v>-2.9910000000000003E-2</v>
      </c>
    </row>
    <row r="30" spans="1:5" x14ac:dyDescent="0.3">
      <c r="A30" s="1">
        <v>2028</v>
      </c>
      <c r="B30" s="2">
        <v>0.04</v>
      </c>
      <c r="C30" s="2">
        <v>0.02</v>
      </c>
      <c r="D30" s="2">
        <v>7.6999999999999999E-2</v>
      </c>
      <c r="E30" s="2">
        <v>-2.4940000000000004E-2</v>
      </c>
    </row>
    <row r="31" spans="1:5" x14ac:dyDescent="0.3">
      <c r="A31" s="1">
        <v>2029</v>
      </c>
      <c r="B31" s="2">
        <v>0.04</v>
      </c>
      <c r="C31" s="2">
        <v>0.02</v>
      </c>
      <c r="D31" s="2">
        <v>7.6999999999999999E-2</v>
      </c>
      <c r="E31" s="2">
        <v>-1.992E-2</v>
      </c>
    </row>
    <row r="32" spans="1:5" x14ac:dyDescent="0.3">
      <c r="A32" s="1">
        <v>2030</v>
      </c>
      <c r="B32" s="2">
        <v>0.04</v>
      </c>
      <c r="C32" s="2">
        <v>0.02</v>
      </c>
      <c r="D32" s="2">
        <v>7.6999999999999999E-2</v>
      </c>
      <c r="E32" s="2">
        <v>-1.4999999999999999E-2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2025-03-26T16:15:45Z</dcterms:created>
  <dcterms:modified xsi:type="dcterms:W3CDTF">2025-12-06T17:32:16Z</dcterms:modified>
</cp:coreProperties>
</file>